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/>
  <mc:AlternateContent xmlns:mc="http://schemas.openxmlformats.org/markup-compatibility/2006">
    <mc:Choice Requires="x15">
      <x15ac:absPath xmlns:x15ac="http://schemas.microsoft.com/office/spreadsheetml/2010/11/ac" url="C:\Users\pim\Documents\SimulacionNoCountry\Justina\"/>
    </mc:Choice>
  </mc:AlternateContent>
  <xr:revisionPtr revIDLastSave="0" documentId="13_ncr:1_{4577E916-B878-4156-BB2A-235023BB92EA}" xr6:coauthVersionLast="40" xr6:coauthVersionMax="47" xr10:uidLastSave="{00000000-0000-0000-0000-000000000000}"/>
  <bookViews>
    <workbookView xWindow="0" yWindow="0" windowWidth="19776" windowHeight="9540" activeTab="1" xr2:uid="{00000000-000D-0000-FFFF-FFFF00000000}"/>
  </bookViews>
  <sheets>
    <sheet name="Supuestos" sheetId="21" r:id="rId1"/>
    <sheet name="Competencia_Precio" sheetId="2" r:id="rId2"/>
    <sheet name="TAM-SAM-SOM" sheetId="13" r:id="rId3"/>
    <sheet name="Clinical_Efficiency" sheetId="3" r:id="rId4"/>
    <sheet name="ROI" sheetId="15" r:id="rId5"/>
    <sheet name="Hospitales" sheetId="19" r:id="rId6"/>
    <sheet name="Modelo adquisición" sheetId="20" r:id="rId7"/>
  </sheets>
  <calcPr calcId="191029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16" roundtripDataChecksum="hvU5EIbIDydEfzAE9Zzg5vJ+jcKQBka9jDq7hl1JgBU="/>
    </ext>
  </extLst>
</workbook>
</file>

<file path=xl/calcChain.xml><?xml version="1.0" encoding="utf-8"?>
<calcChain xmlns="http://schemas.openxmlformats.org/spreadsheetml/2006/main">
  <c r="H5" i="2" l="1"/>
  <c r="E5" i="2"/>
  <c r="D3" i="20"/>
  <c r="F3" i="20" s="1"/>
  <c r="D4" i="20"/>
  <c r="F4" i="20" s="1"/>
  <c r="D2" i="20"/>
  <c r="F2" i="20" s="1"/>
  <c r="N3" i="3"/>
  <c r="N4" i="3"/>
  <c r="N2" i="3"/>
  <c r="K3" i="3"/>
  <c r="K4" i="3"/>
  <c r="K2" i="3"/>
  <c r="H3" i="3"/>
  <c r="H4" i="3"/>
  <c r="H2" i="3"/>
  <c r="B2" i="20"/>
  <c r="D3" i="15"/>
  <c r="D4" i="15"/>
  <c r="E4" i="15" s="1"/>
  <c r="D2" i="15"/>
  <c r="E2" i="15" s="1"/>
  <c r="E3" i="15"/>
  <c r="F3" i="15"/>
  <c r="F4" i="15"/>
  <c r="F2" i="15"/>
  <c r="G2" i="15" l="1"/>
  <c r="G3" i="15"/>
  <c r="G4" i="15"/>
  <c r="H3" i="13"/>
  <c r="J3" i="13" s="1"/>
  <c r="L3" i="13" s="1"/>
  <c r="H6" i="13"/>
  <c r="J6" i="13" s="1"/>
  <c r="L6" i="13" s="1"/>
  <c r="F3" i="13"/>
  <c r="F4" i="13"/>
  <c r="H4" i="13" s="1"/>
  <c r="J4" i="13" s="1"/>
  <c r="L4" i="13" s="1"/>
  <c r="F5" i="13"/>
  <c r="H5" i="13" s="1"/>
  <c r="J5" i="13" s="1"/>
  <c r="L5" i="13" s="1"/>
  <c r="F6" i="13"/>
  <c r="F7" i="13"/>
  <c r="H7" i="13" s="1"/>
  <c r="J7" i="13" s="1"/>
  <c r="L7" i="13" s="1"/>
  <c r="F2" i="13"/>
  <c r="H2" i="13" s="1"/>
  <c r="J2" i="13" s="1"/>
  <c r="L2" i="13" s="1"/>
</calcChain>
</file>

<file path=xl/sharedStrings.xml><?xml version="1.0" encoding="utf-8"?>
<sst xmlns="http://schemas.openxmlformats.org/spreadsheetml/2006/main" count="275" uniqueCount="189">
  <si>
    <t>Argentina</t>
  </si>
  <si>
    <t>Público</t>
  </si>
  <si>
    <t>Modelo</t>
  </si>
  <si>
    <t>da Vinci</t>
  </si>
  <si>
    <t>Xi / X</t>
  </si>
  <si>
    <t>Versius</t>
  </si>
  <si>
    <t>CMR Surgical</t>
  </si>
  <si>
    <t>Hugo RAS</t>
  </si>
  <si>
    <t>Medtronic</t>
  </si>
  <si>
    <t>Justina</t>
  </si>
  <si>
    <t>Metodo_Quirurgico</t>
  </si>
  <si>
    <t>Tipo_Cirugia</t>
  </si>
  <si>
    <t>Fuente_Estudio</t>
  </si>
  <si>
    <t>Cirugía abierta</t>
  </si>
  <si>
    <t>General</t>
  </si>
  <si>
    <t>Ministerio de Salud / OMS</t>
  </si>
  <si>
    <t>Laparoscópica</t>
  </si>
  <si>
    <t>Mínimamente invasiva</t>
  </si>
  <si>
    <t>NHS / OPS</t>
  </si>
  <si>
    <t>Robótica</t>
  </si>
  <si>
    <t>Mínimamente invasiva asistida</t>
  </si>
  <si>
    <t>NIH / Estudios hospitales públicos</t>
  </si>
  <si>
    <t>Escenario</t>
  </si>
  <si>
    <t>Hospital Público Chico</t>
  </si>
  <si>
    <t>Hospital Público Mediano</t>
  </si>
  <si>
    <t>Hospital Público Grande</t>
  </si>
  <si>
    <t>País</t>
  </si>
  <si>
    <t>Precio_Compra_Min_USD</t>
  </si>
  <si>
    <t>Precio_Compra_Max_USD</t>
  </si>
  <si>
    <t>Costo_Mantenimiento_Min_USD</t>
  </si>
  <si>
    <t>Costo_Mantenimiento_Max_USD</t>
  </si>
  <si>
    <t>Costo_Consumibles_Min_USD</t>
  </si>
  <si>
    <t>Costo_Consumibles_Max_USD</t>
  </si>
  <si>
    <t>Vida_Util_Min_Anios</t>
  </si>
  <si>
    <t>Vida_Util_Max_Anios</t>
  </si>
  <si>
    <t>Prototipo</t>
  </si>
  <si>
    <t>Gold Standard - Sin Háptica</t>
  </si>
  <si>
    <t>Modular - Sin Háptica</t>
  </si>
  <si>
    <t>Consola Abierta</t>
  </si>
  <si>
    <t>CON HÁPTICA (Tacto Real)</t>
  </si>
  <si>
    <t>Dias_Internacion_Min</t>
  </si>
  <si>
    <t>Dias_Internacion_Max</t>
  </si>
  <si>
    <t>Tasa_Complicaciones_Min_Porc</t>
  </si>
  <si>
    <t>Tasa_Complicaciones_Max_Porc</t>
  </si>
  <si>
    <t>Dias_Recuperacion_Min</t>
  </si>
  <si>
    <t>Dias_Recuperacion_Max</t>
  </si>
  <si>
    <t>Reduccion_Costos_Min_Porc</t>
  </si>
  <si>
    <t>Reduccion_Costos_Max_Porc</t>
  </si>
  <si>
    <t>Venta CAPEX tradicional</t>
  </si>
  <si>
    <t>Incidencia Cáncer Renal (x100k)</t>
  </si>
  <si>
    <t>Casos Nuevos Estimados</t>
  </si>
  <si>
    <t>% Casos Operables</t>
  </si>
  <si>
    <t>Nefrectomías Oncológicas</t>
  </si>
  <si>
    <t>Nefrectomías Donante Vivo</t>
  </si>
  <si>
    <t>Total Cirugías (TAM)</t>
  </si>
  <si>
    <t>Mercado Direccionable (SAM)</t>
  </si>
  <si>
    <t>Gasto Salud p/c (USD)</t>
  </si>
  <si>
    <t>EE.UU.</t>
  </si>
  <si>
    <t>China</t>
  </si>
  <si>
    <t>Reino Unido</t>
  </si>
  <si>
    <t>España</t>
  </si>
  <si>
    <t>India</t>
  </si>
  <si>
    <t>SI</t>
  </si>
  <si>
    <t>NO</t>
  </si>
  <si>
    <t>% Penetración Robótica Estimada</t>
  </si>
  <si>
    <t>https://data.worldbank.org/indicator/SP.POP.TOTL</t>
  </si>
  <si>
    <t>Poblacion</t>
  </si>
  <si>
    <t>https://data.worldbank.org/indicator/SH.XPD.CHEX.PC.CD?name_desc=true</t>
  </si>
  <si>
    <t>Población 2024</t>
  </si>
  <si>
    <t>Gasto Salud p/c (USD) año 2023</t>
  </si>
  <si>
    <t>https://gco.iarc.who.int/today/en/fact-sheets-populations#countries</t>
  </si>
  <si>
    <t>Casos Nuevos Estimados 2022</t>
  </si>
  <si>
    <t xml:space="preserve">donantes vivos </t>
  </si>
  <si>
    <t>newsletter 2025</t>
  </si>
  <si>
    <t>https://www.europeanurology.com/article/S0302-2838(25)00139-3/fulltext</t>
  </si>
  <si>
    <t>https://gco.iarc.fr/today/en/dataviz/tables?mode=population&amp;cancers=29&amp;group_populations=0&amp;multiple_populations=1&amp;populations=100_104_108_112_116_12_120_124_132_140_144_148_152_160_170_174_178_180_188_191_192_196_203_204_208_214_218_222_226_231_232_233_24_242_246_250_254_258_262_266_268_270_275_276_288_300_31_312_316_32_320_324_328_332_340_348_352_356_36_360_364_368_372_376_380_384_388_392_398_4_40_400_404_408_410_414_417_418_422_426_428_430_434_44_440_442_450_454_458_462_466_470_474_478_48_480_484_496_498_499_50_504_508_51_512_516_52_524_528_540_548_554_558_56_562_566_578_586_591_598_600_604_608_616_620_624_626_630_634_638_64_642_643_646_662_678_68_682_686_688_694_70_702_703_704_705_706_710_716_72_724_728_729_740_748_752_756_76_760_762_764_768_780_784_788_792_795_8_800_804_807_818_826_834_84_840_854_858_860_862_882_887_894_90_96</t>
  </si>
  <si>
    <t>Incidencia Cáncer Renal (x100k) Columna ASR WORLD</t>
  </si>
  <si>
    <t>ROI_Anos</t>
  </si>
  <si>
    <t>Marca Robot</t>
  </si>
  <si>
    <t>Precio Compra Promedio USD</t>
  </si>
  <si>
    <t>Costo_ Mantenimiento_ Promedio USD</t>
  </si>
  <si>
    <t>Costo_ Consumibles_ Promedio_ USD</t>
  </si>
  <si>
    <t>Diferencial_ Tecnico</t>
  </si>
  <si>
    <t>Vida_ Util_ Promedio_ Anios</t>
  </si>
  <si>
    <t>Reduccion_ Costos_ Promedio_ Porc</t>
  </si>
  <si>
    <t>Tasa_ Complicaciones_ Promedio_ Porc</t>
  </si>
  <si>
    <t>Dias_ Internacion_ Promedio</t>
  </si>
  <si>
    <t>Dias_ Recuperacion_ Promedio</t>
  </si>
  <si>
    <t>Volumen_ Cirugias_ Min_ Anual</t>
  </si>
  <si>
    <t>Volumen_ Cirugias_ Max_ Anual</t>
  </si>
  <si>
    <t>Volumen_ Cirugias_ Promedio_ Anual</t>
  </si>
  <si>
    <t>Precio_ Robot_ USD</t>
  </si>
  <si>
    <t>Venta CAPEX tradicional (1=Si_0=No)</t>
  </si>
  <si>
    <t>Ofrece_ Pago_ por_ Uso_ (1=Si_ 0=No)</t>
  </si>
  <si>
    <t>Ofrece_ Leasing_ (1=Si _0=No)</t>
  </si>
  <si>
    <t>Ofrece_ Modelo_ Mixto_ (1=Si_0=No)</t>
  </si>
  <si>
    <t>Hospital</t>
  </si>
  <si>
    <t>Sector</t>
  </si>
  <si>
    <t>Segmento Estratégico</t>
  </si>
  <si>
    <t>¿Tienen Robot Actual?</t>
  </si>
  <si>
    <t>Modelo Justina Propuesto</t>
  </si>
  <si>
    <t>Hospital Italiano</t>
  </si>
  <si>
    <t>Privado</t>
  </si>
  <si>
    <t>Fase 1: Rentabilidad y Prestigio</t>
  </si>
  <si>
    <t>Alto</t>
  </si>
  <si>
    <t>SÍ (da Vinci)</t>
  </si>
  <si>
    <t>Venta Directa con Descuento</t>
  </si>
  <si>
    <t>Fundación Favaloro</t>
  </si>
  <si>
    <t>Venta Directa / Leasing</t>
  </si>
  <si>
    <t>Hospital Posadas</t>
  </si>
  <si>
    <t>Fase 2: Volumen e Impacto</t>
  </si>
  <si>
    <t>Muy Bajo (Restringido)</t>
  </si>
  <si>
    <t>Hospital El Cruce</t>
  </si>
  <si>
    <t>Bajo</t>
  </si>
  <si>
    <t>Hospital Garrahan</t>
  </si>
  <si>
    <t>Fase 3: Académico / Casos Especiales</t>
  </si>
  <si>
    <t>Subvencionado</t>
  </si>
  <si>
    <t>Comodato / I+D</t>
  </si>
  <si>
    <t>Cuota de Mercado Objetivo (SOM)</t>
  </si>
  <si>
    <t>Modelo de Adquisición</t>
  </si>
  <si>
    <t>Pago Inicial (Barrera de Entrada)</t>
  </si>
  <si>
    <t>Costo Fijo Anual (Años 1 al 5)</t>
  </si>
  <si>
    <t>¿Quién asume el riesgo?</t>
  </si>
  <si>
    <t>1. CAPEX Tradicional (Venta)</t>
  </si>
  <si>
    <t>El Hospital</t>
  </si>
  <si>
    <t>2. Leasing Financiero (5 años)</t>
  </si>
  <si>
    <t>Riesgo Compartido</t>
  </si>
  <si>
    <t>3. Pago por Uso (Comodato)</t>
  </si>
  <si>
    <t>$ 1.500 extra por cirugía</t>
  </si>
  <si>
    <t>Justina (La Empresa)</t>
  </si>
  <si>
    <t>Hospital Alemán</t>
  </si>
  <si>
    <t>Hospital Británico</t>
  </si>
  <si>
    <t>Hospital Padilla</t>
  </si>
  <si>
    <t>Provincia</t>
  </si>
  <si>
    <t>Buenos Aires</t>
  </si>
  <si>
    <t>Córdoba</t>
  </si>
  <si>
    <t>Sanatorio Güemes</t>
  </si>
  <si>
    <t>Sanatorio Otamendi</t>
  </si>
  <si>
    <t>Hospital de Clínicas (UBA)</t>
  </si>
  <si>
    <t>Hospital Durand</t>
  </si>
  <si>
    <t>Hospital Rivadavia</t>
  </si>
  <si>
    <t>Hospital Penna</t>
  </si>
  <si>
    <t>Hospital Central Mendoza</t>
  </si>
  <si>
    <t>Hospital Escuela de Tucumán</t>
  </si>
  <si>
    <t>Mendoza</t>
  </si>
  <si>
    <t>Nivel CAPEX</t>
  </si>
  <si>
    <t>Pago por Uso</t>
  </si>
  <si>
    <t>Pediátrico Público</t>
  </si>
  <si>
    <t>SÍ</t>
  </si>
  <si>
    <t>Tucumán</t>
  </si>
  <si>
    <t>Fase 2: Volumen Regional</t>
  </si>
  <si>
    <t>Hospital Vélez Sarsfield (Córdoba)</t>
  </si>
  <si>
    <t>Público/Universitario</t>
  </si>
  <si>
    <t>Fase 3: Académico</t>
  </si>
  <si>
    <t>Bajo/Moderado</t>
  </si>
  <si>
    <t>Fase 2: Alta Complejidad Regional</t>
  </si>
  <si>
    <t>Moderado</t>
  </si>
  <si>
    <t>Leasing / Pago por Uso</t>
  </si>
  <si>
    <t>Hospital San Martín (La Plata)</t>
  </si>
  <si>
    <t>Fase 2: Alta Complejidad Provincial</t>
  </si>
  <si>
    <t xml:space="preserve">El ahorro de 1.929 USD por procedimiento se calcula de forma independiente al ahorro porcentual operativo </t>
  </si>
  <si>
    <t xml:space="preserve">(7,5%), ya que contempla el impacto clínico directo: reducción de 1,5 días de internación promedio y </t>
  </si>
  <si>
    <t>disminución de reintervenciones por complicaciones (Fuente: Benchmarks de cirugía robótica en nefrectomía)</t>
  </si>
  <si>
    <t xml:space="preserve">Para efectos de esta evaluación estratégica, el Retorno de Inversión (ROI) y el período de Payback se calculan </t>
  </si>
  <si>
    <t xml:space="preserve">sobre el Ahorro Bruto Directo generado por la liberación de recursos hospitalarios. Esta simplificación </t>
  </si>
  <si>
    <t xml:space="preserve">metodológica permite visualizar con claridad la capacidad de recuperación del capital invertido (CAPEX) </t>
  </si>
  <si>
    <t xml:space="preserve">frente al valor clínico entregado. Los costos operativos recurrentes, tales como el mantenimiento anual </t>
  </si>
  <si>
    <t xml:space="preserve">($32.500 USD) y los seguros, se consideran en el flujo de caja operativo posterior y no afectan la métrica de </t>
  </si>
  <si>
    <t>recupero inicial aquí presentada.</t>
  </si>
  <si>
    <t>Ahorro Total Anual</t>
  </si>
  <si>
    <t xml:space="preserve">Interpretación Estratégica: El ROI de 7,77 años en el escenario "Chico" demuestra que el modelo de compra </t>
  </si>
  <si>
    <t xml:space="preserve">directa (CAPEX) no es financieramente óptimo para instituciones de bajo volumen, validando la propuesta de la </t>
  </si>
  <si>
    <t>Hipótesis 2 sobre la necesidad de modelos de Pago por Uso o Leasing.</t>
  </si>
  <si>
    <t>Variable</t>
  </si>
  <si>
    <t>Valor_Base</t>
  </si>
  <si>
    <t>Valor_Pesimista</t>
  </si>
  <si>
    <t>Valor_Optimista</t>
  </si>
  <si>
    <t>Precio_robot</t>
  </si>
  <si>
    <t>Ahorro_por_cirugia</t>
  </si>
  <si>
    <t>Volumen_anual_grande</t>
  </si>
  <si>
    <t>Mantenimiento_anual</t>
  </si>
  <si>
    <t>comentario</t>
  </si>
  <si>
    <t>$ 35.000 (A partir del Año 2)</t>
  </si>
  <si>
    <t>$ 195.000 (Incluye mantenimiento)</t>
  </si>
  <si>
    <t>Costo_Variable_ USD</t>
  </si>
  <si>
    <t>Costo extra por cirugia</t>
  </si>
  <si>
    <t>% Cuota de Mercado (SOM)</t>
  </si>
  <si>
    <t>Volumen_anual_chico</t>
  </si>
  <si>
    <t>Volumen_anual_publico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</si>
</sst>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1F1F1F"/>
      <name val="Calibri"/>
      <family val="2"/>
    </font>
    <font>
      <sz val="11"/>
      <color rgb="FF1F1F1F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rgb="FF1F1F1F"/>
      <name val="Times New Roman"/>
      <family val="1"/>
    </font>
    <font>
      <sz val="12"/>
      <color rgb="FF1F1F1F"/>
      <name val="Times New Roman"/>
      <family val="1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7" fillId="0" borderId="0" applyNumberFormat="0" applyFill="0" applyBorder="0" applyAlignment="0" applyProtection="0"/>
    <xf numFmtId="9" fontId="16" fillId="0" borderId="0" applyFont="0" applyFill="0" applyBorder="0" applyAlignment="0" applyProtection="0"/>
  </cellStyleXfs>
  <cellXfs count="52">
    <xf numFmtId="0" fontId="0" fillId="0" borderId="0" xfId="0" applyFont="1" applyAlignment="1"/>
    <xf numFmtId="0" fontId="6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0" xfId="0" applyFont="1" applyAlignment="1">
      <alignment horizontal="center"/>
    </xf>
    <xf numFmtId="0" fontId="3" fillId="0" borderId="0" xfId="0" applyFont="1" applyAlignment="1"/>
    <xf numFmtId="0" fontId="3" fillId="0" borderId="1" xfId="0" applyFont="1" applyBorder="1" applyAlignment="1">
      <alignment horizontal="center" vertical="center" wrapText="1"/>
    </xf>
    <xf numFmtId="0" fontId="9" fillId="0" borderId="2" xfId="0" applyFont="1" applyBorder="1" applyAlignment="1">
      <alignment vertical="center" wrapText="1" readingOrder="1"/>
    </xf>
    <xf numFmtId="0" fontId="8" fillId="0" borderId="2" xfId="0" applyFont="1" applyBorder="1" applyAlignment="1">
      <alignment vertical="center" wrapText="1" readingOrder="1"/>
    </xf>
    <xf numFmtId="0" fontId="9" fillId="0" borderId="0" xfId="0" applyFont="1" applyBorder="1" applyAlignment="1">
      <alignment horizontal="right" vertical="center" wrapText="1" indent="1" readingOrder="1"/>
    </xf>
    <xf numFmtId="0" fontId="8" fillId="0" borderId="0" xfId="0" applyFont="1" applyBorder="1" applyAlignment="1">
      <alignment horizontal="right" vertical="center" wrapText="1" indent="1" readingOrder="1"/>
    </xf>
    <xf numFmtId="0" fontId="9" fillId="0" borderId="0" xfId="0" applyFont="1" applyBorder="1" applyAlignment="1">
      <alignment vertical="center" wrapText="1" readingOrder="1"/>
    </xf>
    <xf numFmtId="0" fontId="9" fillId="0" borderId="0" xfId="0" applyFont="1" applyBorder="1" applyAlignment="1">
      <alignment horizontal="left" vertical="center" wrapText="1" indent="1" readingOrder="1"/>
    </xf>
    <xf numFmtId="0" fontId="8" fillId="0" borderId="0" xfId="0" applyFont="1" applyBorder="1" applyAlignment="1">
      <alignment horizontal="left" vertical="center" wrapText="1" indent="1" readingOrder="1"/>
    </xf>
    <xf numFmtId="0" fontId="7" fillId="0" borderId="0" xfId="1" applyAlignment="1"/>
    <xf numFmtId="0" fontId="9" fillId="0" borderId="1" xfId="0" applyFont="1" applyBorder="1" applyAlignment="1">
      <alignment horizontal="right" vertical="center" wrapText="1" indent="1" readingOrder="1"/>
    </xf>
    <xf numFmtId="0" fontId="9" fillId="0" borderId="1" xfId="0" applyFont="1" applyFill="1" applyBorder="1" applyAlignment="1">
      <alignment horizontal="right" vertical="center" wrapText="1" indent="1" readingOrder="1"/>
    </xf>
    <xf numFmtId="0" fontId="9" fillId="0" borderId="1" xfId="0" applyFont="1" applyFill="1" applyBorder="1" applyAlignment="1">
      <alignment vertical="center" wrapText="1" readingOrder="1"/>
    </xf>
    <xf numFmtId="0" fontId="8" fillId="0" borderId="1" xfId="0" applyFont="1" applyFill="1" applyBorder="1" applyAlignment="1">
      <alignment horizontal="right" vertical="center" wrapText="1" indent="1" readingOrder="1"/>
    </xf>
    <xf numFmtId="9" fontId="8" fillId="0" borderId="1" xfId="0" applyNumberFormat="1" applyFont="1" applyFill="1" applyBorder="1" applyAlignment="1">
      <alignment horizontal="right" vertical="center" wrapText="1" indent="1" readingOrder="1"/>
    </xf>
    <xf numFmtId="0" fontId="5" fillId="0" borderId="1" xfId="0" applyFont="1" applyBorder="1" applyAlignment="1">
      <alignment horizontal="left" vertical="center" wrapText="1" readingOrder="1"/>
    </xf>
    <xf numFmtId="0" fontId="4" fillId="0" borderId="1" xfId="0" applyFont="1" applyBorder="1" applyAlignment="1">
      <alignment horizontal="left" vertical="center" wrapText="1" readingOrder="1"/>
    </xf>
    <xf numFmtId="0" fontId="6" fillId="0" borderId="1" xfId="0" applyFont="1" applyBorder="1" applyAlignment="1">
      <alignment wrapText="1"/>
    </xf>
    <xf numFmtId="0" fontId="2" fillId="0" borderId="0" xfId="0" applyFont="1" applyAlignment="1"/>
    <xf numFmtId="0" fontId="8" fillId="0" borderId="1" xfId="0" applyNumberFormat="1" applyFont="1" applyFill="1" applyBorder="1" applyAlignment="1">
      <alignment horizontal="right" vertical="center" wrapText="1" indent="1" readingOrder="1"/>
    </xf>
    <xf numFmtId="1" fontId="0" fillId="0" borderId="1" xfId="0" applyNumberFormat="1" applyFont="1" applyBorder="1" applyAlignment="1"/>
    <xf numFmtId="1" fontId="8" fillId="0" borderId="1" xfId="0" applyNumberFormat="1" applyFont="1" applyFill="1" applyBorder="1" applyAlignment="1">
      <alignment vertical="center" wrapText="1" readingOrder="1"/>
    </xf>
    <xf numFmtId="1" fontId="9" fillId="0" borderId="1" xfId="0" applyNumberFormat="1" applyFont="1" applyFill="1" applyBorder="1" applyAlignment="1">
      <alignment horizontal="right" vertical="center" wrapText="1" indent="1" readingOrder="1"/>
    </xf>
    <xf numFmtId="1" fontId="8" fillId="0" borderId="1" xfId="0" applyNumberFormat="1" applyFont="1" applyFill="1" applyBorder="1" applyAlignment="1">
      <alignment horizontal="right" vertical="center" wrapText="1" indent="1" readingOrder="1"/>
    </xf>
    <xf numFmtId="0" fontId="6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3" fontId="9" fillId="0" borderId="0" xfId="0" applyNumberFormat="1" applyFont="1" applyBorder="1" applyAlignment="1">
      <alignment horizontal="left" vertical="center" wrapText="1" indent="1" readingOrder="1"/>
    </xf>
    <xf numFmtId="0" fontId="12" fillId="0" borderId="0" xfId="0" applyFont="1" applyBorder="1" applyAlignment="1">
      <alignment horizontal="center" vertical="center" wrapText="1"/>
    </xf>
    <xf numFmtId="0" fontId="13" fillId="0" borderId="0" xfId="0" applyFont="1" applyBorder="1" applyAlignment="1">
      <alignment horizontal="center" vertical="center" wrapText="1"/>
    </xf>
    <xf numFmtId="0" fontId="14" fillId="0" borderId="0" xfId="0" applyFont="1" applyBorder="1" applyAlignment="1">
      <alignment horizontal="left" vertical="center" wrapText="1" indent="1"/>
    </xf>
    <xf numFmtId="0" fontId="15" fillId="0" borderId="0" xfId="0" applyFont="1" applyBorder="1" applyAlignment="1">
      <alignment horizontal="left" vertical="center" wrapText="1" indent="1"/>
    </xf>
    <xf numFmtId="0" fontId="6" fillId="0" borderId="0" xfId="0" applyFont="1" applyAlignment="1"/>
    <xf numFmtId="2" fontId="13" fillId="0" borderId="0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0" fillId="0" borderId="1" xfId="0" applyFont="1" applyBorder="1" applyAlignment="1">
      <alignment vertical="center" wrapText="1"/>
    </xf>
    <xf numFmtId="0" fontId="10" fillId="0" borderId="1" xfId="0" applyFont="1" applyFill="1" applyBorder="1" applyAlignment="1">
      <alignment vertical="center" wrapText="1"/>
    </xf>
    <xf numFmtId="0" fontId="11" fillId="0" borderId="1" xfId="0" applyFont="1" applyBorder="1" applyAlignment="1">
      <alignment vertical="center" wrapText="1"/>
    </xf>
    <xf numFmtId="0" fontId="11" fillId="0" borderId="1" xfId="0" applyFont="1" applyFill="1" applyBorder="1" applyAlignment="1">
      <alignment vertical="center" wrapText="1"/>
    </xf>
    <xf numFmtId="0" fontId="0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Font="1" applyBorder="1" applyAlignment="1">
      <alignment horizontal="right" vertical="center" wrapText="1"/>
    </xf>
    <xf numFmtId="0" fontId="0" fillId="0" borderId="1" xfId="0" applyFont="1" applyBorder="1" applyAlignment="1"/>
    <xf numFmtId="9" fontId="1" fillId="0" borderId="1" xfId="2" applyFont="1" applyBorder="1" applyAlignment="1">
      <alignment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horizontal="center"/>
    </xf>
  </cellXfs>
  <cellStyles count="3">
    <cellStyle name="Hipervínculo" xfId="1" builtinId="8"/>
    <cellStyle name="Normal" xfId="0" builtinId="0"/>
    <cellStyle name="Porcentaje" xfId="2" builtinId="5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1F1F"/>
        <name val="Times New Roman"/>
        <family val="1"/>
        <scheme val="none"/>
      </font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customschemas.google.com/relationships/workbookmetadata" Target="metadata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F95C891-841A-4D57-8B8E-B2F186EA53DA}" name="Tabla3" displayName="Tabla3" ref="A1:G4" totalsRowShown="0" headerRowDxfId="17" dataDxfId="16">
  <autoFilter ref="A1:G4" xr:uid="{E35159D0-985F-48B0-B2A0-67D6A3F7CF31}"/>
  <tableColumns count="7">
    <tableColumn id="1" xr3:uid="{8EDD2290-F5CD-4D62-BE64-31CE4A826255}" name="Escenario" dataDxfId="15"/>
    <tableColumn id="2" xr3:uid="{C1284A1A-E31F-48F3-B083-10527B7EA241}" name="Volumen_ Cirugias_ Min_ Anual" dataDxfId="14"/>
    <tableColumn id="3" xr3:uid="{BAA95FF8-4791-419E-9EEF-5CE8DA8D3A10}" name="Volumen_ Cirugias_ Max_ Anual" dataDxfId="13"/>
    <tableColumn id="4" xr3:uid="{CD4CF217-DF77-4160-BC4E-C8BE368E5013}" name="Volumen_ Cirugias_ Promedio_ Anual" dataDxfId="12">
      <calculatedColumnFormula>(Tabla3[[#This Row],[Volumen_ Cirugias_ Min_ Anual]]+Tabla3[[#This Row],[Volumen_ Cirugias_ Max_ Anual]])/2</calculatedColumnFormula>
    </tableColumn>
    <tableColumn id="7" xr3:uid="{3C79A2DD-38C7-4074-A72E-3808B1C3F408}" name="Ahorro Total Anual" dataDxfId="11">
      <calculatedColumnFormula>Tabla3[[#This Row],[Volumen_ Cirugias_ Promedio_ Anual]]*Supuestos!$B$3</calculatedColumnFormula>
    </tableColumn>
    <tableColumn id="5" xr3:uid="{A1F82179-A523-40B1-AD2D-EFEDEA77B3D1}" name="Precio_ Robot_ USD" dataDxfId="10">
      <calculatedColumnFormula>Supuestos!$B$2</calculatedColumnFormula>
    </tableColumn>
    <tableColumn id="6" xr3:uid="{3ACCB91F-5FF7-47FD-864A-A93B1656492B}" name="ROI_Anos" dataDxfId="9">
      <calculatedColumnFormula>Tabla3[[#This Row],[Precio_ Robot_ USD]]/Tabla3[[#This Row],[Ahorro Total Anual]]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5A48BC4-AA6E-43A0-AD3A-EF9D7069AE09}" name="Tabla1" displayName="Tabla1" ref="A1:G19" totalsRowShown="0" headerRowDxfId="8" dataDxfId="7">
  <autoFilter ref="A1:G19" xr:uid="{D10763F1-3054-4837-A7E5-3A8542B232BD}"/>
  <tableColumns count="7">
    <tableColumn id="1" xr3:uid="{E61728B9-76B4-4F35-9C12-D770D576FD7F}" name="Hospital" dataDxfId="6"/>
    <tableColumn id="2" xr3:uid="{20F071F9-7974-4CF3-85CE-BBF2B25A2A17}" name="Provincia" dataDxfId="5"/>
    <tableColumn id="3" xr3:uid="{94EF57B6-5227-4F60-A6E8-16AEB691F869}" name="Sector" dataDxfId="4"/>
    <tableColumn id="4" xr3:uid="{C4B98A40-13F6-4B18-9F28-5D16D720A6C2}" name="Segmento Estratégico" dataDxfId="3"/>
    <tableColumn id="5" xr3:uid="{2C58F58E-2EA3-4B2D-B3B2-818FC16DF085}" name="Nivel CAPEX" dataDxfId="2"/>
    <tableColumn id="6" xr3:uid="{AE252339-BEC6-4F3A-8B20-6184EA684B7F}" name="¿Tienen Robot Actual?" dataDxfId="1"/>
    <tableColumn id="7" xr3:uid="{787049AC-18CB-4144-8975-CF7D6036C9F1}" name="Modelo Justina Propuest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gco.iarc.who.int/today/en/fact-sheets-populations" TargetMode="External"/><Relationship Id="rId2" Type="http://schemas.openxmlformats.org/officeDocument/2006/relationships/hyperlink" Target="https://data.worldbank.org/indicator/SH.XPD.CHEX.PC.CD?name_desc=true" TargetMode="External"/><Relationship Id="rId1" Type="http://schemas.openxmlformats.org/officeDocument/2006/relationships/hyperlink" Target="https://data.worldbank.org/indicator/SP.POP.TOTL" TargetMode="External"/><Relationship Id="rId4" Type="http://schemas.openxmlformats.org/officeDocument/2006/relationships/hyperlink" Target="https://www.europeanurology.com/article/S0302-2838(25)00139-3/fulltext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3C0A2-5EE9-4710-A4A3-515A9FCBE33C}">
  <dimension ref="A1:E8"/>
  <sheetViews>
    <sheetView workbookViewId="0">
      <selection sqref="A1:D8"/>
    </sheetView>
  </sheetViews>
  <sheetFormatPr baseColWidth="10" defaultRowHeight="14.4" x14ac:dyDescent="0.3"/>
  <cols>
    <col min="1" max="1" width="24.21875" customWidth="1"/>
    <col min="2" max="2" width="20" customWidth="1"/>
    <col min="3" max="3" width="23.33203125" customWidth="1"/>
    <col min="4" max="4" width="22.21875" customWidth="1"/>
    <col min="5" max="5" width="19.109375" customWidth="1"/>
  </cols>
  <sheetData>
    <row r="1" spans="1:5" x14ac:dyDescent="0.3">
      <c r="A1" s="1" t="s">
        <v>173</v>
      </c>
      <c r="B1" s="1" t="s">
        <v>174</v>
      </c>
      <c r="C1" s="1" t="s">
        <v>175</v>
      </c>
      <c r="D1" s="1" t="s">
        <v>176</v>
      </c>
      <c r="E1" s="28"/>
    </row>
    <row r="2" spans="1:5" x14ac:dyDescent="0.3">
      <c r="A2" s="43" t="s">
        <v>177</v>
      </c>
      <c r="B2" s="43">
        <v>750000</v>
      </c>
      <c r="C2" s="43">
        <v>800000</v>
      </c>
      <c r="D2" s="43">
        <v>700000</v>
      </c>
      <c r="E2" s="37"/>
    </row>
    <row r="3" spans="1:5" x14ac:dyDescent="0.3">
      <c r="A3" s="43" t="s">
        <v>178</v>
      </c>
      <c r="B3" s="43">
        <v>1929</v>
      </c>
      <c r="C3" s="43">
        <v>1500</v>
      </c>
      <c r="D3" s="43">
        <v>2200</v>
      </c>
      <c r="E3" s="37"/>
    </row>
    <row r="4" spans="1:5" x14ac:dyDescent="0.3">
      <c r="A4" s="43" t="s">
        <v>179</v>
      </c>
      <c r="B4" s="43">
        <v>300</v>
      </c>
      <c r="C4" s="43">
        <v>250</v>
      </c>
      <c r="D4" s="43">
        <v>350</v>
      </c>
      <c r="E4" s="37"/>
    </row>
    <row r="5" spans="1:5" x14ac:dyDescent="0.3">
      <c r="A5" s="44" t="s">
        <v>187</v>
      </c>
      <c r="B5" s="45">
        <v>40</v>
      </c>
      <c r="C5" s="45">
        <v>50</v>
      </c>
      <c r="D5" s="45">
        <v>60</v>
      </c>
      <c r="E5" s="37"/>
    </row>
    <row r="6" spans="1:5" x14ac:dyDescent="0.3">
      <c r="A6" s="44" t="s">
        <v>188</v>
      </c>
      <c r="B6" s="45">
        <v>100</v>
      </c>
      <c r="C6" s="45">
        <v>125</v>
      </c>
      <c r="D6" s="45">
        <v>150</v>
      </c>
      <c r="E6" s="37"/>
    </row>
    <row r="7" spans="1:5" x14ac:dyDescent="0.3">
      <c r="A7" s="43" t="s">
        <v>180</v>
      </c>
      <c r="B7" s="43">
        <v>35000</v>
      </c>
      <c r="C7" s="43">
        <v>40000</v>
      </c>
      <c r="D7" s="43">
        <v>30000</v>
      </c>
      <c r="E7" s="37"/>
    </row>
    <row r="8" spans="1:5" x14ac:dyDescent="0.3">
      <c r="A8" s="46" t="s">
        <v>186</v>
      </c>
      <c r="B8" s="47">
        <v>0.1</v>
      </c>
      <c r="C8" s="47">
        <v>0.05</v>
      </c>
      <c r="D8" s="47">
        <v>0.15</v>
      </c>
    </row>
  </sheetData>
  <pageMargins left="0.7" right="0.7" top="0.75" bottom="0.75" header="0.3" footer="0.3"/>
  <pageSetup paperSize="9" orientation="portrait" horizontalDpi="4294967294" verticalDpi="429496729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F6128"/>
  </sheetPr>
  <dimension ref="A1:V939"/>
  <sheetViews>
    <sheetView tabSelected="1" zoomScale="98" zoomScaleNormal="98" workbookViewId="0">
      <selection activeCell="V14" sqref="V14"/>
    </sheetView>
  </sheetViews>
  <sheetFormatPr baseColWidth="10" defaultColWidth="14.44140625" defaultRowHeight="15" customHeight="1" x14ac:dyDescent="0.3"/>
  <cols>
    <col min="1" max="1" width="12.6640625" bestFit="1" customWidth="1"/>
    <col min="2" max="2" width="16.33203125" customWidth="1"/>
    <col min="3" max="3" width="11.77734375" hidden="1" customWidth="1"/>
    <col min="4" max="4" width="14.44140625" hidden="1" customWidth="1"/>
    <col min="5" max="5" width="16.5546875" customWidth="1"/>
    <col min="6" max="6" width="23.33203125" hidden="1" customWidth="1"/>
    <col min="7" max="7" width="28.5546875" hidden="1" customWidth="1"/>
    <col min="8" max="8" width="19.6640625" customWidth="1"/>
    <col min="9" max="9" width="10.6640625" hidden="1" customWidth="1"/>
    <col min="10" max="10" width="15.44140625" hidden="1" customWidth="1"/>
    <col min="11" max="11" width="17.6640625" customWidth="1"/>
    <col min="12" max="13" width="10.6640625" hidden="1" customWidth="1"/>
    <col min="14" max="14" width="11.44140625" customWidth="1"/>
    <col min="15" max="15" width="15" customWidth="1"/>
    <col min="16" max="16" width="8.88671875" customWidth="1"/>
    <col min="17" max="17" width="9.88671875" customWidth="1"/>
    <col min="18" max="18" width="9.33203125" customWidth="1"/>
    <col min="19" max="19" width="9.109375" customWidth="1"/>
    <col min="20" max="20" width="2.44140625" customWidth="1"/>
    <col min="21" max="21" width="4.5546875" customWidth="1"/>
    <col min="22" max="22" width="5.88671875" customWidth="1"/>
    <col min="23" max="30" width="10.6640625" customWidth="1"/>
  </cols>
  <sheetData>
    <row r="1" spans="1:22" ht="56.4" customHeight="1" x14ac:dyDescent="0.3">
      <c r="A1" s="1" t="s">
        <v>78</v>
      </c>
      <c r="B1" s="1" t="s">
        <v>2</v>
      </c>
      <c r="C1" s="1" t="s">
        <v>27</v>
      </c>
      <c r="D1" s="1" t="s">
        <v>28</v>
      </c>
      <c r="E1" s="1" t="s">
        <v>79</v>
      </c>
      <c r="F1" s="1" t="s">
        <v>29</v>
      </c>
      <c r="G1" s="1" t="s">
        <v>30</v>
      </c>
      <c r="H1" s="1" t="s">
        <v>80</v>
      </c>
      <c r="I1" s="1" t="s">
        <v>31</v>
      </c>
      <c r="J1" s="1" t="s">
        <v>32</v>
      </c>
      <c r="K1" s="1" t="s">
        <v>81</v>
      </c>
      <c r="L1" s="1" t="s">
        <v>33</v>
      </c>
      <c r="M1" s="1" t="s">
        <v>34</v>
      </c>
      <c r="N1" s="1" t="s">
        <v>83</v>
      </c>
      <c r="O1" s="1" t="s">
        <v>82</v>
      </c>
      <c r="P1" s="21" t="s">
        <v>92</v>
      </c>
      <c r="Q1" s="21" t="s">
        <v>94</v>
      </c>
      <c r="R1" s="21" t="s">
        <v>93</v>
      </c>
      <c r="S1" s="21" t="s">
        <v>95</v>
      </c>
    </row>
    <row r="2" spans="1:22" ht="14.25" customHeight="1" x14ac:dyDescent="0.3">
      <c r="A2" s="2" t="s">
        <v>3</v>
      </c>
      <c r="B2" s="2" t="s">
        <v>4</v>
      </c>
      <c r="C2" s="2">
        <v>1800000</v>
      </c>
      <c r="D2" s="2">
        <v>2300000</v>
      </c>
      <c r="E2" s="2">
        <v>2050000</v>
      </c>
      <c r="F2" s="2">
        <v>150000</v>
      </c>
      <c r="G2" s="2">
        <v>180000</v>
      </c>
      <c r="H2" s="2">
        <v>165000</v>
      </c>
      <c r="I2" s="2">
        <v>2000</v>
      </c>
      <c r="J2" s="2">
        <v>3500</v>
      </c>
      <c r="K2" s="2">
        <v>2750</v>
      </c>
      <c r="L2" s="2">
        <v>7</v>
      </c>
      <c r="M2" s="2">
        <v>10</v>
      </c>
      <c r="N2" s="5">
        <v>8.5</v>
      </c>
      <c r="O2" s="19" t="s">
        <v>36</v>
      </c>
      <c r="P2" s="19">
        <v>1</v>
      </c>
      <c r="Q2" s="19">
        <v>1</v>
      </c>
      <c r="R2" s="19">
        <v>0</v>
      </c>
      <c r="S2" s="19">
        <v>1</v>
      </c>
      <c r="U2" s="8">
        <v>1</v>
      </c>
      <c r="V2" s="11" t="s">
        <v>62</v>
      </c>
    </row>
    <row r="3" spans="1:22" ht="14.25" customHeight="1" x14ac:dyDescent="0.3">
      <c r="A3" s="2" t="s">
        <v>5</v>
      </c>
      <c r="B3" s="2" t="s">
        <v>6</v>
      </c>
      <c r="C3" s="2">
        <v>1200000</v>
      </c>
      <c r="D3" s="2">
        <v>1500000</v>
      </c>
      <c r="E3" s="2">
        <v>1350000</v>
      </c>
      <c r="F3" s="2">
        <v>80000</v>
      </c>
      <c r="G3" s="2">
        <v>120000</v>
      </c>
      <c r="H3" s="2">
        <v>100000</v>
      </c>
      <c r="I3" s="2">
        <v>800</v>
      </c>
      <c r="J3" s="2">
        <v>1500</v>
      </c>
      <c r="K3" s="2">
        <v>1150</v>
      </c>
      <c r="L3" s="2">
        <v>8</v>
      </c>
      <c r="M3" s="2">
        <v>10</v>
      </c>
      <c r="N3" s="2">
        <v>9</v>
      </c>
      <c r="O3" s="19" t="s">
        <v>37</v>
      </c>
      <c r="P3" s="19">
        <v>1</v>
      </c>
      <c r="Q3" s="19">
        <v>1</v>
      </c>
      <c r="R3" s="19">
        <v>0</v>
      </c>
      <c r="S3" s="19">
        <v>1</v>
      </c>
      <c r="U3" s="8">
        <v>0</v>
      </c>
      <c r="V3" s="12" t="s">
        <v>63</v>
      </c>
    </row>
    <row r="4" spans="1:22" ht="14.25" customHeight="1" x14ac:dyDescent="0.3">
      <c r="A4" s="2" t="s">
        <v>7</v>
      </c>
      <c r="B4" s="2" t="s">
        <v>8</v>
      </c>
      <c r="C4" s="2">
        <v>1000000</v>
      </c>
      <c r="D4" s="2">
        <v>1300000</v>
      </c>
      <c r="E4" s="2">
        <v>1150000</v>
      </c>
      <c r="F4" s="2">
        <v>70000</v>
      </c>
      <c r="G4" s="2">
        <v>100000</v>
      </c>
      <c r="H4" s="2">
        <v>85000</v>
      </c>
      <c r="I4" s="2">
        <v>700</v>
      </c>
      <c r="J4" s="2">
        <v>1200</v>
      </c>
      <c r="K4" s="2">
        <v>950</v>
      </c>
      <c r="L4" s="2">
        <v>8</v>
      </c>
      <c r="M4" s="2">
        <v>10</v>
      </c>
      <c r="N4" s="2">
        <v>9</v>
      </c>
      <c r="O4" s="19" t="s">
        <v>38</v>
      </c>
      <c r="P4" s="19">
        <v>1</v>
      </c>
      <c r="Q4" s="19">
        <v>1</v>
      </c>
      <c r="R4" s="19">
        <v>0</v>
      </c>
      <c r="S4" s="19">
        <v>1</v>
      </c>
    </row>
    <row r="5" spans="1:22" ht="14.25" customHeight="1" x14ac:dyDescent="0.3">
      <c r="A5" s="2" t="s">
        <v>9</v>
      </c>
      <c r="B5" s="2" t="s">
        <v>35</v>
      </c>
      <c r="C5" s="2">
        <v>750000</v>
      </c>
      <c r="D5" s="2">
        <v>750000</v>
      </c>
      <c r="E5" s="2">
        <f>Supuestos!B2</f>
        <v>750000</v>
      </c>
      <c r="F5" s="2">
        <v>25000</v>
      </c>
      <c r="G5" s="2">
        <v>40000</v>
      </c>
      <c r="H5" s="2">
        <f>Supuestos!B7</f>
        <v>35000</v>
      </c>
      <c r="I5" s="2">
        <v>300</v>
      </c>
      <c r="J5" s="2">
        <v>600</v>
      </c>
      <c r="K5" s="2">
        <v>450</v>
      </c>
      <c r="L5" s="2">
        <v>10</v>
      </c>
      <c r="M5" s="2">
        <v>12</v>
      </c>
      <c r="N5" s="2">
        <v>11</v>
      </c>
      <c r="O5" s="20" t="s">
        <v>39</v>
      </c>
      <c r="P5" s="19">
        <v>1</v>
      </c>
      <c r="Q5" s="19">
        <v>1</v>
      </c>
      <c r="R5" s="19">
        <v>1</v>
      </c>
      <c r="S5" s="19">
        <v>1</v>
      </c>
    </row>
    <row r="6" spans="1:22" ht="14.25" customHeight="1" x14ac:dyDescent="0.3"/>
    <row r="7" spans="1:22" ht="14.25" customHeight="1" thickBot="1" x14ac:dyDescent="0.35"/>
    <row r="8" spans="1:22" ht="14.25" customHeight="1" thickBot="1" x14ac:dyDescent="0.35">
      <c r="C8" s="8"/>
      <c r="D8" s="8"/>
      <c r="E8" s="8"/>
      <c r="F8" s="6" t="s">
        <v>48</v>
      </c>
    </row>
    <row r="9" spans="1:22" ht="14.25" customHeight="1" thickBot="1" x14ac:dyDescent="0.35">
      <c r="C9" s="9"/>
      <c r="D9" s="9"/>
      <c r="E9" s="9"/>
      <c r="F9" s="7" t="s">
        <v>62</v>
      </c>
    </row>
    <row r="10" spans="1:22" ht="14.25" customHeight="1" thickBot="1" x14ac:dyDescent="0.35">
      <c r="A10" s="8"/>
      <c r="B10" s="9"/>
      <c r="C10" s="9"/>
      <c r="D10" s="9"/>
      <c r="E10" s="9"/>
      <c r="F10" s="7" t="s">
        <v>62</v>
      </c>
    </row>
    <row r="11" spans="1:22" ht="14.25" customHeight="1" thickBot="1" x14ac:dyDescent="0.35">
      <c r="A11" s="8"/>
      <c r="B11" s="9"/>
      <c r="C11" s="9"/>
      <c r="D11" s="9"/>
      <c r="E11" s="9"/>
      <c r="F11" s="7" t="s">
        <v>62</v>
      </c>
    </row>
    <row r="12" spans="1:22" ht="14.25" customHeight="1" thickBot="1" x14ac:dyDescent="0.35">
      <c r="A12" s="8"/>
      <c r="B12" s="9"/>
      <c r="C12" s="8"/>
      <c r="D12" s="8"/>
      <c r="E12" s="8"/>
      <c r="F12" s="7" t="s">
        <v>62</v>
      </c>
    </row>
    <row r="13" spans="1:22" ht="14.25" customHeight="1" x14ac:dyDescent="0.3"/>
    <row r="14" spans="1:22" ht="14.25" customHeight="1" x14ac:dyDescent="0.3"/>
    <row r="15" spans="1:22" ht="14.25" customHeight="1" x14ac:dyDescent="0.3"/>
    <row r="16" spans="1:22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63693-F904-4011-A9F1-387F70E153F6}">
  <dimension ref="A1:P7"/>
  <sheetViews>
    <sheetView topLeftCell="A4" zoomScale="136" zoomScaleNormal="136" workbookViewId="0">
      <selection activeCell="N3" sqref="N3"/>
    </sheetView>
  </sheetViews>
  <sheetFormatPr baseColWidth="10" defaultRowHeight="14.4" x14ac:dyDescent="0.3"/>
  <cols>
    <col min="1" max="1" width="16.5546875" customWidth="1"/>
    <col min="2" max="2" width="18.109375" customWidth="1"/>
    <col min="3" max="3" width="14.77734375" customWidth="1"/>
    <col min="4" max="4" width="10.77734375" customWidth="1"/>
    <col min="5" max="5" width="8.5546875" customWidth="1"/>
    <col min="6" max="6" width="11.33203125" customWidth="1"/>
    <col min="7" max="7" width="12.6640625" customWidth="1"/>
    <col min="8" max="8" width="11.33203125" customWidth="1"/>
    <col min="10" max="10" width="18.5546875" customWidth="1"/>
    <col min="11" max="11" width="18" customWidth="1"/>
  </cols>
  <sheetData>
    <row r="1" spans="1:16" ht="64.8" customHeight="1" x14ac:dyDescent="0.3">
      <c r="A1" s="14" t="s">
        <v>26</v>
      </c>
      <c r="B1" s="15" t="s">
        <v>68</v>
      </c>
      <c r="C1" s="15" t="s">
        <v>49</v>
      </c>
      <c r="D1" s="15" t="s">
        <v>71</v>
      </c>
      <c r="E1" s="15" t="s">
        <v>51</v>
      </c>
      <c r="F1" s="15" t="s">
        <v>52</v>
      </c>
      <c r="G1" s="15" t="s">
        <v>53</v>
      </c>
      <c r="H1" s="15" t="s">
        <v>54</v>
      </c>
      <c r="I1" s="15" t="s">
        <v>64</v>
      </c>
      <c r="J1" s="15" t="s">
        <v>55</v>
      </c>
      <c r="K1" s="16" t="s">
        <v>69</v>
      </c>
      <c r="L1" s="15" t="s">
        <v>118</v>
      </c>
      <c r="O1" t="s">
        <v>66</v>
      </c>
      <c r="P1" s="13" t="s">
        <v>65</v>
      </c>
    </row>
    <row r="2" spans="1:16" x14ac:dyDescent="0.3">
      <c r="A2" s="14" t="s">
        <v>57</v>
      </c>
      <c r="B2" s="23">
        <v>340110988</v>
      </c>
      <c r="C2" s="17">
        <v>12.2</v>
      </c>
      <c r="D2" s="23">
        <v>71759</v>
      </c>
      <c r="E2" s="18">
        <v>0.7</v>
      </c>
      <c r="F2" s="27">
        <f>SUM(D2*E2)</f>
        <v>50231.299999999996</v>
      </c>
      <c r="G2" s="23">
        <v>6419</v>
      </c>
      <c r="H2" s="26">
        <f>SUM(F2+G2)</f>
        <v>56650.299999999996</v>
      </c>
      <c r="I2" s="18">
        <v>0.3</v>
      </c>
      <c r="J2" s="26">
        <f>SUM(H2*I2)</f>
        <v>16995.089999999997</v>
      </c>
      <c r="K2" s="25">
        <v>13473.19335938</v>
      </c>
      <c r="L2" s="24">
        <f>SUM(J2*Supuestos!$B$8)</f>
        <v>1699.5089999999998</v>
      </c>
      <c r="O2" t="s">
        <v>56</v>
      </c>
      <c r="P2" s="13" t="s">
        <v>67</v>
      </c>
    </row>
    <row r="3" spans="1:16" x14ac:dyDescent="0.3">
      <c r="A3" s="14" t="s">
        <v>58</v>
      </c>
      <c r="B3" s="23">
        <v>1408975000</v>
      </c>
      <c r="C3" s="17">
        <v>4.0999999999999996</v>
      </c>
      <c r="D3" s="23">
        <v>73656</v>
      </c>
      <c r="E3" s="18">
        <v>0.6</v>
      </c>
      <c r="F3" s="27">
        <f t="shared" ref="F3:F7" si="0">SUM(D3*E3)</f>
        <v>44193.599999999999</v>
      </c>
      <c r="G3" s="23">
        <v>3555</v>
      </c>
      <c r="H3" s="26">
        <f t="shared" ref="H3:H7" si="1">SUM(F3+G3)</f>
        <v>47748.6</v>
      </c>
      <c r="I3" s="18">
        <v>0.1</v>
      </c>
      <c r="J3" s="26">
        <f t="shared" ref="J3:J7" si="2">SUM(H3*I3)</f>
        <v>4774.8599999999997</v>
      </c>
      <c r="K3" s="25">
        <v>763.37762451000003</v>
      </c>
      <c r="L3" s="24">
        <f>SUM(J3*Supuestos!$B$8)</f>
        <v>477.48599999999999</v>
      </c>
      <c r="O3" s="4" t="s">
        <v>50</v>
      </c>
      <c r="P3" s="13" t="s">
        <v>70</v>
      </c>
    </row>
    <row r="4" spans="1:16" x14ac:dyDescent="0.3">
      <c r="A4" s="14" t="s">
        <v>59</v>
      </c>
      <c r="B4" s="23">
        <v>69226000</v>
      </c>
      <c r="C4" s="17">
        <v>10.5</v>
      </c>
      <c r="D4" s="23">
        <v>13714</v>
      </c>
      <c r="E4" s="18">
        <v>0.65</v>
      </c>
      <c r="F4" s="27">
        <f t="shared" si="0"/>
        <v>8914.1</v>
      </c>
      <c r="G4" s="23">
        <v>948</v>
      </c>
      <c r="H4" s="26">
        <f t="shared" si="1"/>
        <v>9862.1</v>
      </c>
      <c r="I4" s="18">
        <v>0.15</v>
      </c>
      <c r="J4" s="26">
        <f t="shared" si="2"/>
        <v>1479.3150000000001</v>
      </c>
      <c r="K4" s="25">
        <v>5407.1704101599998</v>
      </c>
      <c r="L4" s="24">
        <f>SUM(J4*Supuestos!$B$8)</f>
        <v>147.9315</v>
      </c>
      <c r="O4" s="4" t="s">
        <v>72</v>
      </c>
      <c r="P4" s="4" t="s">
        <v>73</v>
      </c>
    </row>
    <row r="5" spans="1:16" x14ac:dyDescent="0.3">
      <c r="A5" s="14" t="s">
        <v>60</v>
      </c>
      <c r="B5" s="23">
        <v>48848840</v>
      </c>
      <c r="C5" s="17">
        <v>10.1</v>
      </c>
      <c r="D5" s="23">
        <v>8686</v>
      </c>
      <c r="E5" s="18">
        <v>0.7</v>
      </c>
      <c r="F5" s="27">
        <f t="shared" si="0"/>
        <v>6080.2</v>
      </c>
      <c r="G5" s="23">
        <v>398</v>
      </c>
      <c r="H5" s="26">
        <f t="shared" si="1"/>
        <v>6478.2</v>
      </c>
      <c r="I5" s="18">
        <v>0.15</v>
      </c>
      <c r="J5" s="26">
        <f t="shared" si="2"/>
        <v>971.7299999999999</v>
      </c>
      <c r="K5" s="25">
        <v>3106.6201171900002</v>
      </c>
      <c r="L5" s="24">
        <f>SUM(J5*Supuestos!$B$8)</f>
        <v>97.173000000000002</v>
      </c>
      <c r="O5" s="4" t="s">
        <v>51</v>
      </c>
      <c r="P5" s="13" t="s">
        <v>74</v>
      </c>
    </row>
    <row r="6" spans="1:16" x14ac:dyDescent="0.3">
      <c r="A6" s="14" t="s">
        <v>0</v>
      </c>
      <c r="B6" s="23">
        <v>45696159</v>
      </c>
      <c r="C6" s="17">
        <v>7.5</v>
      </c>
      <c r="D6" s="23">
        <v>4908</v>
      </c>
      <c r="E6" s="18">
        <v>0.6</v>
      </c>
      <c r="F6" s="27">
        <f t="shared" si="0"/>
        <v>2944.7999999999997</v>
      </c>
      <c r="G6" s="23">
        <v>241</v>
      </c>
      <c r="H6" s="26">
        <f t="shared" si="1"/>
        <v>3185.7999999999997</v>
      </c>
      <c r="I6" s="18">
        <v>0.05</v>
      </c>
      <c r="J6" s="26">
        <f t="shared" si="2"/>
        <v>159.29</v>
      </c>
      <c r="K6" s="25">
        <v>1456.98596191</v>
      </c>
      <c r="L6" s="24">
        <f>SUM(J6*Supuestos!$B$8)</f>
        <v>15.929</v>
      </c>
      <c r="O6" s="4" t="s">
        <v>76</v>
      </c>
      <c r="P6" s="4" t="s">
        <v>75</v>
      </c>
    </row>
    <row r="7" spans="1:16" x14ac:dyDescent="0.3">
      <c r="A7" s="14" t="s">
        <v>61</v>
      </c>
      <c r="B7" s="23">
        <v>1450935791</v>
      </c>
      <c r="C7" s="17">
        <v>1.5</v>
      </c>
      <c r="D7" s="23">
        <v>17480</v>
      </c>
      <c r="E7" s="18">
        <v>0.5</v>
      </c>
      <c r="F7" s="27">
        <f t="shared" si="0"/>
        <v>8740</v>
      </c>
      <c r="G7" s="23">
        <v>11558</v>
      </c>
      <c r="H7" s="26">
        <f t="shared" si="1"/>
        <v>20298</v>
      </c>
      <c r="I7" s="18">
        <v>0.05</v>
      </c>
      <c r="J7" s="26">
        <f t="shared" si="2"/>
        <v>1014.9000000000001</v>
      </c>
      <c r="K7" s="25">
        <v>84.686698910000004</v>
      </c>
      <c r="L7" s="24">
        <f>SUM(J7*Supuestos!$B$8)</f>
        <v>101.49000000000001</v>
      </c>
    </row>
  </sheetData>
  <hyperlinks>
    <hyperlink ref="P1" r:id="rId1" xr:uid="{EF3646D7-65A3-47D4-AC46-10D8E057E833}"/>
    <hyperlink ref="P2" r:id="rId2" xr:uid="{463D6F0E-3626-44C4-A1A3-F1A5A1D94F16}"/>
    <hyperlink ref="P3" r:id="rId3" location="countries" xr:uid="{AB808B39-0E0C-4854-8DC9-AD8C7ADF40E1}"/>
    <hyperlink ref="P5" r:id="rId4" xr:uid="{89DA03B6-F93A-4D78-8303-A9C5AC186A5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982"/>
  <sheetViews>
    <sheetView zoomScaleNormal="100" workbookViewId="0">
      <selection activeCell="H4" sqref="H4"/>
    </sheetView>
  </sheetViews>
  <sheetFormatPr baseColWidth="10" defaultColWidth="14.44140625" defaultRowHeight="15" customHeight="1" x14ac:dyDescent="0.3"/>
  <cols>
    <col min="1" max="1" width="18.44140625" customWidth="1"/>
    <col min="2" max="2" width="21.33203125" customWidth="1"/>
    <col min="3" max="3" width="25.88671875" hidden="1" customWidth="1"/>
    <col min="4" max="4" width="26" hidden="1" customWidth="1"/>
    <col min="5" max="5" width="18.6640625" customWidth="1"/>
    <col min="6" max="6" width="35" hidden="1" customWidth="1"/>
    <col min="7" max="7" width="36" hidden="1" customWidth="1"/>
    <col min="8" max="8" width="21.21875" customWidth="1"/>
    <col min="9" max="9" width="21.109375" customWidth="1"/>
    <col min="10" max="10" width="16.44140625" customWidth="1"/>
    <col min="11" max="11" width="18.77734375" customWidth="1"/>
    <col min="12" max="13" width="9.109375" customWidth="1"/>
    <col min="14" max="14" width="19.77734375" customWidth="1"/>
    <col min="15" max="15" width="25.77734375" customWidth="1"/>
    <col min="16" max="26" width="9.109375" customWidth="1"/>
  </cols>
  <sheetData>
    <row r="1" spans="1:15" ht="14.25" customHeight="1" x14ac:dyDescent="0.3">
      <c r="A1" s="1" t="s">
        <v>10</v>
      </c>
      <c r="B1" s="1" t="s">
        <v>11</v>
      </c>
      <c r="C1" s="1" t="s">
        <v>40</v>
      </c>
      <c r="D1" s="1" t="s">
        <v>41</v>
      </c>
      <c r="E1" s="48" t="s">
        <v>86</v>
      </c>
      <c r="F1" s="48" t="s">
        <v>42</v>
      </c>
      <c r="G1" s="48" t="s">
        <v>43</v>
      </c>
      <c r="H1" s="48" t="s">
        <v>85</v>
      </c>
      <c r="I1" s="1" t="s">
        <v>44</v>
      </c>
      <c r="J1" s="1" t="s">
        <v>45</v>
      </c>
      <c r="K1" s="48" t="s">
        <v>87</v>
      </c>
      <c r="L1" s="1" t="s">
        <v>46</v>
      </c>
      <c r="M1" s="1" t="s">
        <v>47</v>
      </c>
      <c r="N1" s="48" t="s">
        <v>84</v>
      </c>
      <c r="O1" s="1" t="s">
        <v>12</v>
      </c>
    </row>
    <row r="2" spans="1:15" ht="14.25" customHeight="1" x14ac:dyDescent="0.3">
      <c r="A2" s="2" t="s">
        <v>13</v>
      </c>
      <c r="B2" s="2" t="s">
        <v>14</v>
      </c>
      <c r="C2" s="2">
        <v>5</v>
      </c>
      <c r="D2" s="2">
        <v>7</v>
      </c>
      <c r="E2" s="49">
        <v>6</v>
      </c>
      <c r="F2" s="49">
        <v>15</v>
      </c>
      <c r="G2" s="49">
        <v>20</v>
      </c>
      <c r="H2" s="50">
        <f>(F2+G2)/2</f>
        <v>17.5</v>
      </c>
      <c r="I2" s="2">
        <v>30</v>
      </c>
      <c r="J2" s="2">
        <v>45</v>
      </c>
      <c r="K2" s="50">
        <f>(I2+J2)/2</f>
        <v>37.5</v>
      </c>
      <c r="L2" s="2">
        <v>45</v>
      </c>
      <c r="M2" s="2">
        <v>55</v>
      </c>
      <c r="N2" s="49">
        <f>(L2+M2)/2</f>
        <v>50</v>
      </c>
      <c r="O2" s="2" t="s">
        <v>15</v>
      </c>
    </row>
    <row r="3" spans="1:15" ht="14.25" customHeight="1" x14ac:dyDescent="0.3">
      <c r="A3" s="2" t="s">
        <v>16</v>
      </c>
      <c r="B3" s="2" t="s">
        <v>17</v>
      </c>
      <c r="C3" s="2">
        <v>2</v>
      </c>
      <c r="D3" s="2">
        <v>4</v>
      </c>
      <c r="E3" s="49">
        <v>3</v>
      </c>
      <c r="F3" s="49">
        <v>8</v>
      </c>
      <c r="G3" s="49">
        <v>12</v>
      </c>
      <c r="H3" s="50">
        <f t="shared" ref="H3:H4" si="0">(F3+G3)/2</f>
        <v>10</v>
      </c>
      <c r="I3" s="2">
        <v>15</v>
      </c>
      <c r="J3" s="2">
        <v>25</v>
      </c>
      <c r="K3" s="50">
        <f t="shared" ref="K3:K4" si="1">(I3+J3)/2</f>
        <v>20</v>
      </c>
      <c r="L3" s="2">
        <v>35</v>
      </c>
      <c r="M3" s="2">
        <v>45</v>
      </c>
      <c r="N3" s="49">
        <f t="shared" ref="N3:N4" si="2">(L3+M3)/2</f>
        <v>40</v>
      </c>
      <c r="O3" s="2" t="s">
        <v>18</v>
      </c>
    </row>
    <row r="4" spans="1:15" ht="14.25" customHeight="1" x14ac:dyDescent="0.3">
      <c r="A4" s="2" t="s">
        <v>19</v>
      </c>
      <c r="B4" s="2" t="s">
        <v>20</v>
      </c>
      <c r="C4" s="2">
        <v>1</v>
      </c>
      <c r="D4" s="2">
        <v>3</v>
      </c>
      <c r="E4" s="49">
        <v>2</v>
      </c>
      <c r="F4" s="49">
        <v>5</v>
      </c>
      <c r="G4" s="49">
        <v>8</v>
      </c>
      <c r="H4" s="50">
        <f t="shared" si="0"/>
        <v>6.5</v>
      </c>
      <c r="I4" s="2">
        <v>7</v>
      </c>
      <c r="J4" s="2">
        <v>15</v>
      </c>
      <c r="K4" s="50">
        <f t="shared" si="1"/>
        <v>11</v>
      </c>
      <c r="L4" s="2">
        <v>5</v>
      </c>
      <c r="M4" s="2">
        <v>10</v>
      </c>
      <c r="N4" s="49">
        <f t="shared" si="2"/>
        <v>7.5</v>
      </c>
      <c r="O4" s="2" t="s">
        <v>21</v>
      </c>
    </row>
    <row r="5" spans="1:15" ht="14.25" customHeight="1" x14ac:dyDescent="0.3">
      <c r="A5" s="3"/>
      <c r="B5" s="3"/>
      <c r="C5" s="3"/>
      <c r="D5" s="3"/>
      <c r="E5" s="3"/>
      <c r="F5" s="3"/>
      <c r="G5" s="3"/>
      <c r="H5" s="3"/>
      <c r="I5" s="3"/>
      <c r="J5" s="3"/>
      <c r="K5" s="51"/>
      <c r="L5" s="3"/>
      <c r="M5" s="3"/>
      <c r="N5" s="3"/>
      <c r="O5" s="3"/>
    </row>
    <row r="6" spans="1:15" ht="14.25" customHeight="1" x14ac:dyDescent="0.3"/>
    <row r="7" spans="1:15" ht="14.25" customHeight="1" x14ac:dyDescent="0.3"/>
    <row r="8" spans="1:15" ht="14.25" customHeight="1" x14ac:dyDescent="0.3"/>
    <row r="9" spans="1:15" ht="14.25" customHeight="1" x14ac:dyDescent="0.3"/>
    <row r="10" spans="1:15" ht="14.25" customHeight="1" x14ac:dyDescent="0.3"/>
    <row r="11" spans="1:15" ht="14.25" customHeight="1" x14ac:dyDescent="0.3"/>
    <row r="12" spans="1:15" ht="14.25" customHeight="1" x14ac:dyDescent="0.3"/>
    <row r="13" spans="1:15" ht="14.25" customHeight="1" x14ac:dyDescent="0.3"/>
    <row r="14" spans="1:15" ht="14.25" customHeight="1" x14ac:dyDescent="0.3"/>
    <row r="15" spans="1:15" ht="14.25" customHeight="1" x14ac:dyDescent="0.3"/>
    <row r="16" spans="1:15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77107-B8C9-4DBD-8F0D-A0CC433DE43A}">
  <dimension ref="A1:N20"/>
  <sheetViews>
    <sheetView workbookViewId="0">
      <selection activeCell="F12" sqref="F12"/>
    </sheetView>
  </sheetViews>
  <sheetFormatPr baseColWidth="10" defaultRowHeight="14.4" x14ac:dyDescent="0.3"/>
  <cols>
    <col min="1" max="1" width="16.33203125" customWidth="1"/>
    <col min="2" max="2" width="18" customWidth="1"/>
    <col min="3" max="3" width="17.33203125" customWidth="1"/>
    <col min="4" max="5" width="25" customWidth="1"/>
    <col min="6" max="6" width="16.44140625" customWidth="1"/>
    <col min="7" max="7" width="12.6640625" customWidth="1"/>
    <col min="8" max="8" width="3.33203125" customWidth="1"/>
    <col min="9" max="9" width="2" customWidth="1"/>
  </cols>
  <sheetData>
    <row r="1" spans="1:14" ht="43.2" x14ac:dyDescent="0.3">
      <c r="A1" s="31" t="s">
        <v>22</v>
      </c>
      <c r="B1" s="31" t="s">
        <v>88</v>
      </c>
      <c r="C1" s="31" t="s">
        <v>89</v>
      </c>
      <c r="D1" s="31" t="s">
        <v>90</v>
      </c>
      <c r="E1" s="33" t="s">
        <v>169</v>
      </c>
      <c r="F1" s="31" t="s">
        <v>91</v>
      </c>
      <c r="G1" s="10" t="s">
        <v>77</v>
      </c>
      <c r="J1" s="11"/>
      <c r="K1" s="11"/>
      <c r="L1" s="11"/>
      <c r="M1" s="11"/>
      <c r="N1" s="11"/>
    </row>
    <row r="2" spans="1:14" ht="28.8" x14ac:dyDescent="0.3">
      <c r="A2" s="32" t="s">
        <v>23</v>
      </c>
      <c r="B2" s="32">
        <v>40</v>
      </c>
      <c r="C2" s="32">
        <v>60</v>
      </c>
      <c r="D2" s="32">
        <f>(Tabla3[[#This Row],[Volumen_ Cirugias_ Min_ Anual]]+Tabla3[[#This Row],[Volumen_ Cirugias_ Max_ Anual]])/2</f>
        <v>50</v>
      </c>
      <c r="E2" s="34">
        <f>Tabla3[[#This Row],[Volumen_ Cirugias_ Promedio_ Anual]]*Supuestos!$B$3</f>
        <v>96450</v>
      </c>
      <c r="F2" s="32">
        <f>Supuestos!$B$2</f>
        <v>750000</v>
      </c>
      <c r="G2" s="36">
        <f>Tabla3[[#This Row],[Precio_ Robot_ USD]]/Tabla3[[#This Row],[Ahorro Total Anual]]</f>
        <v>7.7760497667185069</v>
      </c>
      <c r="J2" s="22" t="s">
        <v>160</v>
      </c>
    </row>
    <row r="3" spans="1:14" ht="28.8" x14ac:dyDescent="0.3">
      <c r="A3" s="32" t="s">
        <v>24</v>
      </c>
      <c r="B3" s="32">
        <v>100</v>
      </c>
      <c r="C3" s="32">
        <v>150</v>
      </c>
      <c r="D3" s="32">
        <f>(Tabla3[[#This Row],[Volumen_ Cirugias_ Min_ Anual]]+Tabla3[[#This Row],[Volumen_ Cirugias_ Max_ Anual]])/2</f>
        <v>125</v>
      </c>
      <c r="E3" s="34">
        <f>Tabla3[[#This Row],[Volumen_ Cirugias_ Promedio_ Anual]]*Supuestos!$B$3</f>
        <v>241125</v>
      </c>
      <c r="F3" s="32">
        <f>Supuestos!$B$2</f>
        <v>750000</v>
      </c>
      <c r="G3" s="36">
        <f>Tabla3[[#This Row],[Precio_ Robot_ USD]]/Tabla3[[#This Row],[Ahorro Total Anual]]</f>
        <v>3.1104199066874028</v>
      </c>
      <c r="J3" t="s">
        <v>161</v>
      </c>
    </row>
    <row r="4" spans="1:14" ht="28.8" x14ac:dyDescent="0.3">
      <c r="A4" s="32" t="s">
        <v>25</v>
      </c>
      <c r="B4" s="32">
        <v>250</v>
      </c>
      <c r="C4" s="32">
        <v>350</v>
      </c>
      <c r="D4" s="32">
        <f>(Tabla3[[#This Row],[Volumen_ Cirugias_ Min_ Anual]]+Tabla3[[#This Row],[Volumen_ Cirugias_ Max_ Anual]])/2</f>
        <v>300</v>
      </c>
      <c r="E4" s="34">
        <f>Tabla3[[#This Row],[Volumen_ Cirugias_ Promedio_ Anual]]*Supuestos!$B$3</f>
        <v>578700</v>
      </c>
      <c r="F4" s="32">
        <f>Supuestos!$B$2</f>
        <v>750000</v>
      </c>
      <c r="G4" s="36">
        <f>Tabla3[[#This Row],[Precio_ Robot_ USD]]/Tabla3[[#This Row],[Ahorro Total Anual]]</f>
        <v>1.2960082944530844</v>
      </c>
      <c r="J4" t="s">
        <v>162</v>
      </c>
    </row>
    <row r="5" spans="1:14" x14ac:dyDescent="0.3">
      <c r="A5" s="12"/>
      <c r="B5" s="12"/>
      <c r="C5" s="12"/>
      <c r="D5" s="30"/>
      <c r="E5" s="30"/>
      <c r="F5" s="12"/>
      <c r="G5" s="10"/>
    </row>
    <row r="7" spans="1:14" x14ac:dyDescent="0.3">
      <c r="J7" t="s">
        <v>163</v>
      </c>
    </row>
    <row r="8" spans="1:14" x14ac:dyDescent="0.3">
      <c r="A8" s="22"/>
      <c r="J8" t="s">
        <v>164</v>
      </c>
    </row>
    <row r="9" spans="1:14" x14ac:dyDescent="0.3">
      <c r="J9" t="s">
        <v>165</v>
      </c>
    </row>
    <row r="10" spans="1:14" x14ac:dyDescent="0.3">
      <c r="J10" t="s">
        <v>166</v>
      </c>
    </row>
    <row r="11" spans="1:14" x14ac:dyDescent="0.3">
      <c r="J11" t="s">
        <v>167</v>
      </c>
    </row>
    <row r="12" spans="1:14" x14ac:dyDescent="0.3">
      <c r="J12" t="s">
        <v>168</v>
      </c>
    </row>
    <row r="14" spans="1:14" x14ac:dyDescent="0.3">
      <c r="J14" s="35" t="s">
        <v>170</v>
      </c>
    </row>
    <row r="15" spans="1:14" x14ac:dyDescent="0.3">
      <c r="J15" t="s">
        <v>171</v>
      </c>
    </row>
    <row r="16" spans="1:14" x14ac:dyDescent="0.3">
      <c r="J16" t="s">
        <v>172</v>
      </c>
    </row>
    <row r="20" spans="1:1" x14ac:dyDescent="0.3">
      <c r="A20" s="35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5B2C1-81F5-4414-9405-9183843542C3}">
  <dimension ref="A1:G19"/>
  <sheetViews>
    <sheetView topLeftCell="A7" workbookViewId="0">
      <selection activeCell="B3" sqref="B3"/>
    </sheetView>
  </sheetViews>
  <sheetFormatPr baseColWidth="10" defaultRowHeight="14.4" x14ac:dyDescent="0.3"/>
  <cols>
    <col min="1" max="2" width="32.109375" customWidth="1"/>
    <col min="4" max="4" width="21.5546875" customWidth="1"/>
    <col min="5" max="5" width="16.6640625" customWidth="1"/>
    <col min="6" max="6" width="22.21875" customWidth="1"/>
    <col min="7" max="7" width="25.44140625" customWidth="1"/>
  </cols>
  <sheetData>
    <row r="1" spans="1:7" x14ac:dyDescent="0.3">
      <c r="A1" s="28" t="s">
        <v>96</v>
      </c>
      <c r="B1" s="28" t="s">
        <v>133</v>
      </c>
      <c r="C1" s="28" t="s">
        <v>97</v>
      </c>
      <c r="D1" s="28" t="s">
        <v>98</v>
      </c>
      <c r="E1" s="28" t="s">
        <v>145</v>
      </c>
      <c r="F1" s="28" t="s">
        <v>99</v>
      </c>
      <c r="G1" s="28" t="s">
        <v>100</v>
      </c>
    </row>
    <row r="2" spans="1:7" ht="28.8" x14ac:dyDescent="0.3">
      <c r="A2" s="29" t="s">
        <v>101</v>
      </c>
      <c r="B2" s="29" t="s">
        <v>134</v>
      </c>
      <c r="C2" s="29" t="s">
        <v>102</v>
      </c>
      <c r="D2" s="29" t="s">
        <v>103</v>
      </c>
      <c r="E2" s="29" t="s">
        <v>104</v>
      </c>
      <c r="F2" s="29" t="s">
        <v>105</v>
      </c>
      <c r="G2" s="29" t="s">
        <v>106</v>
      </c>
    </row>
    <row r="3" spans="1:7" ht="28.8" x14ac:dyDescent="0.3">
      <c r="A3" s="29" t="s">
        <v>107</v>
      </c>
      <c r="B3" s="29" t="s">
        <v>134</v>
      </c>
      <c r="C3" s="29" t="s">
        <v>102</v>
      </c>
      <c r="D3" s="29" t="s">
        <v>103</v>
      </c>
      <c r="E3" s="29" t="s">
        <v>104</v>
      </c>
      <c r="F3" s="29" t="s">
        <v>63</v>
      </c>
      <c r="G3" s="29" t="s">
        <v>108</v>
      </c>
    </row>
    <row r="4" spans="1:7" ht="28.8" x14ac:dyDescent="0.3">
      <c r="A4" s="29" t="s">
        <v>131</v>
      </c>
      <c r="B4" s="29" t="s">
        <v>134</v>
      </c>
      <c r="C4" s="29" t="s">
        <v>102</v>
      </c>
      <c r="D4" s="29" t="s">
        <v>103</v>
      </c>
      <c r="E4" s="29" t="s">
        <v>104</v>
      </c>
      <c r="F4" s="29" t="s">
        <v>63</v>
      </c>
      <c r="G4" s="29" t="s">
        <v>108</v>
      </c>
    </row>
    <row r="5" spans="1:7" ht="28.8" x14ac:dyDescent="0.3">
      <c r="A5" s="29" t="s">
        <v>109</v>
      </c>
      <c r="B5" s="29" t="s">
        <v>134</v>
      </c>
      <c r="C5" s="29" t="s">
        <v>1</v>
      </c>
      <c r="D5" s="29" t="s">
        <v>110</v>
      </c>
      <c r="E5" s="29" t="s">
        <v>111</v>
      </c>
      <c r="F5" s="29" t="s">
        <v>63</v>
      </c>
      <c r="G5" s="29" t="s">
        <v>146</v>
      </c>
    </row>
    <row r="6" spans="1:7" ht="28.8" x14ac:dyDescent="0.3">
      <c r="A6" s="29" t="s">
        <v>112</v>
      </c>
      <c r="B6" s="29" t="s">
        <v>134</v>
      </c>
      <c r="C6" s="29" t="s">
        <v>1</v>
      </c>
      <c r="D6" s="29" t="s">
        <v>110</v>
      </c>
      <c r="E6" s="29" t="s">
        <v>113</v>
      </c>
      <c r="F6" s="29" t="s">
        <v>63</v>
      </c>
      <c r="G6" s="29" t="s">
        <v>146</v>
      </c>
    </row>
    <row r="7" spans="1:7" ht="28.8" x14ac:dyDescent="0.3">
      <c r="A7" s="29" t="s">
        <v>114</v>
      </c>
      <c r="B7" s="29" t="s">
        <v>134</v>
      </c>
      <c r="C7" s="29" t="s">
        <v>147</v>
      </c>
      <c r="D7" s="29" t="s">
        <v>115</v>
      </c>
      <c r="E7" s="29" t="s">
        <v>116</v>
      </c>
      <c r="F7" s="29" t="s">
        <v>63</v>
      </c>
      <c r="G7" s="29" t="s">
        <v>117</v>
      </c>
    </row>
    <row r="8" spans="1:7" ht="28.8" x14ac:dyDescent="0.3">
      <c r="A8" s="29" t="s">
        <v>130</v>
      </c>
      <c r="B8" s="29" t="s">
        <v>134</v>
      </c>
      <c r="C8" s="29" t="s">
        <v>102</v>
      </c>
      <c r="D8" s="29" t="s">
        <v>103</v>
      </c>
      <c r="E8" s="29" t="s">
        <v>104</v>
      </c>
      <c r="F8" s="29" t="s">
        <v>148</v>
      </c>
      <c r="G8" s="29" t="s">
        <v>108</v>
      </c>
    </row>
    <row r="9" spans="1:7" ht="28.8" x14ac:dyDescent="0.3">
      <c r="A9" s="29" t="s">
        <v>132</v>
      </c>
      <c r="B9" s="29" t="s">
        <v>149</v>
      </c>
      <c r="C9" s="29" t="s">
        <v>1</v>
      </c>
      <c r="D9" s="29" t="s">
        <v>150</v>
      </c>
      <c r="E9" s="29" t="s">
        <v>113</v>
      </c>
      <c r="F9" s="29" t="s">
        <v>63</v>
      </c>
      <c r="G9" s="29" t="s">
        <v>146</v>
      </c>
    </row>
    <row r="10" spans="1:7" ht="28.8" x14ac:dyDescent="0.3">
      <c r="A10" s="29" t="s">
        <v>151</v>
      </c>
      <c r="B10" s="29" t="s">
        <v>135</v>
      </c>
      <c r="C10" s="29" t="s">
        <v>1</v>
      </c>
      <c r="D10" s="29" t="s">
        <v>150</v>
      </c>
      <c r="E10" s="29" t="s">
        <v>113</v>
      </c>
      <c r="F10" s="29" t="s">
        <v>63</v>
      </c>
      <c r="G10" s="29" t="s">
        <v>146</v>
      </c>
    </row>
    <row r="11" spans="1:7" ht="28.8" x14ac:dyDescent="0.3">
      <c r="A11" s="29" t="s">
        <v>136</v>
      </c>
      <c r="B11" s="29" t="s">
        <v>134</v>
      </c>
      <c r="C11" s="29" t="s">
        <v>102</v>
      </c>
      <c r="D11" s="29" t="s">
        <v>103</v>
      </c>
      <c r="E11" s="29" t="s">
        <v>104</v>
      </c>
      <c r="F11" s="29" t="s">
        <v>63</v>
      </c>
      <c r="G11" s="29" t="s">
        <v>108</v>
      </c>
    </row>
    <row r="12" spans="1:7" ht="28.8" x14ac:dyDescent="0.3">
      <c r="A12" s="29" t="s">
        <v>137</v>
      </c>
      <c r="B12" s="29" t="s">
        <v>134</v>
      </c>
      <c r="C12" s="29" t="s">
        <v>102</v>
      </c>
      <c r="D12" s="29" t="s">
        <v>103</v>
      </c>
      <c r="E12" s="29" t="s">
        <v>104</v>
      </c>
      <c r="F12" s="29" t="s">
        <v>63</v>
      </c>
      <c r="G12" s="29" t="s">
        <v>108</v>
      </c>
    </row>
    <row r="13" spans="1:7" ht="28.8" x14ac:dyDescent="0.3">
      <c r="A13" s="29" t="s">
        <v>138</v>
      </c>
      <c r="B13" s="29" t="s">
        <v>134</v>
      </c>
      <c r="C13" s="29" t="s">
        <v>152</v>
      </c>
      <c r="D13" s="29" t="s">
        <v>153</v>
      </c>
      <c r="E13" s="29" t="s">
        <v>154</v>
      </c>
      <c r="F13" s="29" t="s">
        <v>63</v>
      </c>
      <c r="G13" s="29" t="s">
        <v>117</v>
      </c>
    </row>
    <row r="14" spans="1:7" ht="28.8" x14ac:dyDescent="0.3">
      <c r="A14" s="29" t="s">
        <v>139</v>
      </c>
      <c r="B14" s="29" t="s">
        <v>134</v>
      </c>
      <c r="C14" s="29" t="s">
        <v>1</v>
      </c>
      <c r="D14" s="29" t="s">
        <v>110</v>
      </c>
      <c r="E14" s="29" t="s">
        <v>113</v>
      </c>
      <c r="F14" s="29" t="s">
        <v>63</v>
      </c>
      <c r="G14" s="29" t="s">
        <v>146</v>
      </c>
    </row>
    <row r="15" spans="1:7" ht="28.8" x14ac:dyDescent="0.3">
      <c r="A15" s="29" t="s">
        <v>140</v>
      </c>
      <c r="B15" s="29" t="s">
        <v>134</v>
      </c>
      <c r="C15" s="29" t="s">
        <v>1</v>
      </c>
      <c r="D15" s="29" t="s">
        <v>110</v>
      </c>
      <c r="E15" s="29" t="s">
        <v>113</v>
      </c>
      <c r="F15" s="29" t="s">
        <v>63</v>
      </c>
      <c r="G15" s="29" t="s">
        <v>146</v>
      </c>
    </row>
    <row r="16" spans="1:7" ht="28.8" x14ac:dyDescent="0.3">
      <c r="A16" s="29" t="s">
        <v>141</v>
      </c>
      <c r="B16" s="29" t="s">
        <v>134</v>
      </c>
      <c r="C16" s="29" t="s">
        <v>1</v>
      </c>
      <c r="D16" s="29" t="s">
        <v>110</v>
      </c>
      <c r="E16" s="29" t="s">
        <v>113</v>
      </c>
      <c r="F16" s="29" t="s">
        <v>63</v>
      </c>
      <c r="G16" s="29" t="s">
        <v>146</v>
      </c>
    </row>
    <row r="17" spans="1:7" ht="28.8" x14ac:dyDescent="0.3">
      <c r="A17" s="29" t="s">
        <v>142</v>
      </c>
      <c r="B17" s="29" t="s">
        <v>144</v>
      </c>
      <c r="C17" s="29" t="s">
        <v>1</v>
      </c>
      <c r="D17" s="29" t="s">
        <v>155</v>
      </c>
      <c r="E17" s="29" t="s">
        <v>156</v>
      </c>
      <c r="F17" s="29" t="s">
        <v>63</v>
      </c>
      <c r="G17" s="29" t="s">
        <v>157</v>
      </c>
    </row>
    <row r="18" spans="1:7" ht="28.8" x14ac:dyDescent="0.3">
      <c r="A18" s="29" t="s">
        <v>143</v>
      </c>
      <c r="B18" s="29" t="s">
        <v>149</v>
      </c>
      <c r="C18" s="29" t="s">
        <v>1</v>
      </c>
      <c r="D18" s="29" t="s">
        <v>155</v>
      </c>
      <c r="E18" s="29" t="s">
        <v>113</v>
      </c>
      <c r="F18" s="29" t="s">
        <v>63</v>
      </c>
      <c r="G18" s="29" t="s">
        <v>146</v>
      </c>
    </row>
    <row r="19" spans="1:7" ht="28.8" x14ac:dyDescent="0.3">
      <c r="A19" s="29" t="s">
        <v>158</v>
      </c>
      <c r="B19" s="29" t="s">
        <v>134</v>
      </c>
      <c r="C19" s="29" t="s">
        <v>1</v>
      </c>
      <c r="D19" s="29" t="s">
        <v>159</v>
      </c>
      <c r="E19" s="29" t="s">
        <v>113</v>
      </c>
      <c r="F19" s="29" t="s">
        <v>63</v>
      </c>
      <c r="G19" s="29" t="s">
        <v>146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BE715-E091-454C-A87C-3D33A3CB72F5}">
  <dimension ref="A1:H4"/>
  <sheetViews>
    <sheetView workbookViewId="0">
      <selection activeCell="D10" sqref="D10"/>
    </sheetView>
  </sheetViews>
  <sheetFormatPr baseColWidth="10" defaultRowHeight="14.4" x14ac:dyDescent="0.3"/>
  <cols>
    <col min="2" max="2" width="14.6640625" customWidth="1"/>
    <col min="3" max="3" width="16.5546875" customWidth="1"/>
    <col min="4" max="6" width="18.5546875" customWidth="1"/>
    <col min="7" max="7" width="19.77734375" customWidth="1"/>
    <col min="8" max="8" width="23" customWidth="1"/>
  </cols>
  <sheetData>
    <row r="1" spans="1:8" ht="46.8" x14ac:dyDescent="0.3">
      <c r="A1" s="38" t="s">
        <v>119</v>
      </c>
      <c r="B1" s="38" t="s">
        <v>120</v>
      </c>
      <c r="C1" s="38" t="s">
        <v>121</v>
      </c>
      <c r="D1" s="38" t="s">
        <v>81</v>
      </c>
      <c r="E1" s="39" t="s">
        <v>185</v>
      </c>
      <c r="F1" s="38" t="s">
        <v>184</v>
      </c>
      <c r="G1" s="38" t="s">
        <v>122</v>
      </c>
      <c r="H1" s="39" t="s">
        <v>181</v>
      </c>
    </row>
    <row r="2" spans="1:8" ht="46.8" x14ac:dyDescent="0.3">
      <c r="A2" s="38" t="s">
        <v>123</v>
      </c>
      <c r="B2" s="38">
        <f>Supuestos!B2</f>
        <v>750000</v>
      </c>
      <c r="C2" s="40">
        <v>35000</v>
      </c>
      <c r="D2" s="40">
        <f>Competencia_Precio!$K$5</f>
        <v>450</v>
      </c>
      <c r="E2" s="40">
        <v>0</v>
      </c>
      <c r="F2" s="40">
        <f>D2+E2</f>
        <v>450</v>
      </c>
      <c r="G2" s="40" t="s">
        <v>124</v>
      </c>
      <c r="H2" s="41" t="s">
        <v>182</v>
      </c>
    </row>
    <row r="3" spans="1:8" ht="46.8" x14ac:dyDescent="0.3">
      <c r="A3" s="38" t="s">
        <v>125</v>
      </c>
      <c r="B3" s="38">
        <v>0</v>
      </c>
      <c r="C3" s="40">
        <v>195000</v>
      </c>
      <c r="D3" s="40">
        <f>Competencia_Precio!$K$5</f>
        <v>450</v>
      </c>
      <c r="E3" s="40">
        <v>0</v>
      </c>
      <c r="F3" s="40">
        <f t="shared" ref="F3:F4" si="0">D3+E3</f>
        <v>450</v>
      </c>
      <c r="G3" s="40" t="s">
        <v>126</v>
      </c>
      <c r="H3" s="41" t="s">
        <v>183</v>
      </c>
    </row>
    <row r="4" spans="1:8" ht="62.4" x14ac:dyDescent="0.3">
      <c r="A4" s="38" t="s">
        <v>127</v>
      </c>
      <c r="B4" s="38">
        <v>0</v>
      </c>
      <c r="C4" s="40">
        <v>0</v>
      </c>
      <c r="D4" s="40">
        <f>Competencia_Precio!$K$5</f>
        <v>450</v>
      </c>
      <c r="E4" s="40">
        <v>1500</v>
      </c>
      <c r="F4" s="40">
        <f t="shared" si="0"/>
        <v>1950</v>
      </c>
      <c r="G4" s="40" t="s">
        <v>129</v>
      </c>
      <c r="H4" s="42" t="s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Supuestos</vt:lpstr>
      <vt:lpstr>Competencia_Precio</vt:lpstr>
      <vt:lpstr>TAM-SAM-SOM</vt:lpstr>
      <vt:lpstr>Clinical_Efficiency</vt:lpstr>
      <vt:lpstr>ROI</vt:lpstr>
      <vt:lpstr>Hospitales</vt:lpstr>
      <vt:lpstr>Modelo adquisición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Inaes</cp:lastModifiedBy>
  <dcterms:created xsi:type="dcterms:W3CDTF">2026-02-07T18:11:58Z</dcterms:created>
  <dcterms:modified xsi:type="dcterms:W3CDTF">2026-03-03T01:35:35Z</dcterms:modified>
</cp:coreProperties>
</file>